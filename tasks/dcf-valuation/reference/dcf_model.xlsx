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CF" sheetId="1" state="visible" r:id="rId3"/>
    <sheet name="Inputs" sheetId="2" state="visible" r:id="rId4"/>
    <sheet name="WACC" sheetId="3" state="visible" r:id="rId5"/>
    <sheet name="Sensitivity" sheetId="4" state="visible" r:id="rId6"/>
    <sheet name="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<sst xmlns="http://schemas.openxmlformats.org/spreadsheetml/2006/main" count="131" uniqueCount="119">
  <si>
    <t xml:space="preserve">$ millions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</si>
  <si>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</si>
  <si>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</si>
  <si>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</si>
  <si>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</si>
  <si>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</si>
  <si>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</si>
  <si>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Revenue growth</t>
  </si>
  <si>
    <t xml:space="preserve">Revenue</t>
  </si>
  <si>
    <t xml:space="preserve">EBIT margin</t>
  </si>
  <si>
    <t xml:space="preserve">EBIT</t>
  </si>
  <si>
    <t xml:space="preserve">Tax rate</t>
  </si>
  <si>
    <t xml:space="preserve">NOPAT = EBIT x (1 - t)</t>
  </si>
  <si>
    <t xml:space="preserve">D&amp;A % of revenue</t>
  </si>
  <si>
    <t xml:space="preserve">D&amp;A</t>
  </si>
  <si>
    <t xml:space="preserve">Capex % of revenue</t>
  </si>
  <si>
    <t xml:space="preserve">Capex</t>
  </si>
  <si>
    <t xml:space="preserve">NWC investment, % of revenue change</t>
  </si>
  <si>
    <t xml:space="preserve">Increase in NWC (cash outflow)</t>
  </si>
  <si>
    <t xml:space="preserve">Unlevered FCF = NOPAT + D&amp;A - capex - increase in NWC</t>
  </si>
  <si>
    <t xml:space="preserve">Discount period (years, end-of-year)</t>
  </si>
  <si>
    <t xml:space="preserve">Discount factor</t>
  </si>
  <si>
    <t xml:space="preserve">PV of UFCF</t>
  </si>
  <si>
    <t xml:space="preserve">Valuation</t>
  </si>
  <si>
    <t xml:space="preserve">Sum of PV of UFCF</t>
  </si>
  <si>
    <t xml:space="preserve">Terminal growth rate</t>
  </si>
  <si>
    <t xml:space="preserve">WACC</t>
  </si>
  <si>
    <t xml:space="preserve">Terminal value at FY2030 = UFCF x (1+g) / (WACC - g)</t>
  </si>
  <si>
    <t xml:space="preserve">PV of terminal value</t>
  </si>
  <si>
    <t xml:space="preserve">Enterprise value</t>
  </si>
  <si>
    <t xml:space="preserve">Less: net debt (negative = net cash)</t>
  </si>
  <si>
    <t xml:space="preserve">Equity value</t>
  </si>
  <si>
    <t xml:space="preserve">Diluted shares (millions)</t>
  </si>
  <si>
    <t xml:space="preserve">Intrinsic value per share ($)</t>
  </si>
  <si>
    <t xml:space="preserve">Terminal value as % of EV</t>
  </si>
  <si>
    <t xml:space="preserve">Reference share price ($)</t>
  </si>
  <si>
    <t xml:space="preserve">Implied upside / (downside) vs reference price</t>
  </si>
  <si>
    <t xml:space="preserve">Apple Inc. (AAPL) - DCF inputs, $ millions unless stated. Blue = hard-coded input from source.</t>
  </si>
  <si>
    <t xml:space="preserve">Source: Form 10-K FY2025 (FYE 27 Sep 2025), accession 0000320193-25-000079, filed 2025-10-31; values via SEC XBRL companyfacts.</t>
  </si>
  <si>
    <t xml:space="preserve">Income / cash flow</t>
  </si>
  <si>
    <t xml:space="preserve">FY2023</t>
  </si>
  <si>
    <t xml:space="preserve">FY2024</t>
  </si>
  <si>
    <t xml:space="preserve">FY2025</t>
  </si>
  <si>
    <t xml:space="preserve">XBRL tag</t>
  </si>
  <si>
    <t xml:space="preserve">RevenueFromContractWithCustomerExcludingAssessedTax</t>
  </si>
  <si>
    <t xml:space="preserve">Operating income (EBIT)</t>
  </si>
  <si>
    <t xml:space="preserve">OperatingIncomeLoss</t>
  </si>
  <si>
    <t xml:space="preserve">Depreciation &amp; amortization</t>
  </si>
  <si>
    <t xml:space="preserve">DepreciationDepletionAndAmortization</t>
  </si>
  <si>
    <t xml:space="preserve">Capital expenditure (payments for PP&amp;E)</t>
  </si>
  <si>
    <t xml:space="preserve">PaymentsToAcquirePropertyPlantAndEquipment</t>
  </si>
  <si>
    <t xml:space="preserve">Pre-tax income</t>
  </si>
  <si>
    <t xml:space="preserve">IncomeLossFromContinuingOperationsBefore...Taxes</t>
  </si>
  <si>
    <t xml:space="preserve">Income tax expense</t>
  </si>
  <si>
    <t xml:space="preserve">IncomeTaxExpenseBenefit</t>
  </si>
  <si>
    <t xml:space="preserve">Effective tax rate</t>
  </si>
  <si>
    <t xml:space="preserve">Cash-flow effect of working capital (+ = inflow)</t>
  </si>
  <si>
    <t xml:space="preserve">Derived from rows 13-18; FY2024/FY2025 contain large one-off tax-related swings</t>
  </si>
  <si>
    <t xml:space="preserve">Working-capital items (XBRL sign: assets +=increase=cash outflow; liabilities +=increase=cash inflow)</t>
  </si>
  <si>
    <t xml:space="preserve">Change in accounts receivable</t>
  </si>
  <si>
    <t xml:space="preserve">IncreaseDecreaseInAccountsReceivable</t>
  </si>
  <si>
    <t xml:space="preserve">Change in inventories</t>
  </si>
  <si>
    <t xml:space="preserve">IncreaseDecreaseInInventories</t>
  </si>
  <si>
    <t xml:space="preserve">Change in vendor non-trade receivables</t>
  </si>
  <si>
    <t xml:space="preserve">IncreaseDecreaseInOtherReceivables</t>
  </si>
  <si>
    <t xml:space="preserve">Change in other operating assets</t>
  </si>
  <si>
    <t xml:space="preserve">IncreaseDecreaseInOtherOperatingAssets</t>
  </si>
  <si>
    <t xml:space="preserve">Change in accounts payable</t>
  </si>
  <si>
    <t xml:space="preserve">IncreaseDecreaseInAccountsPayable</t>
  </si>
  <si>
    <t xml:space="preserve">Change in other operating liabilities</t>
  </si>
  <si>
    <t xml:space="preserve">IncreaseDecreaseInOtherOperatingLiabilities</t>
  </si>
  <si>
    <t xml:space="preserve">Balance sheet and share data (FY2025 year-end)</t>
  </si>
  <si>
    <t xml:space="preserve">Commercial paper</t>
  </si>
  <si>
    <t xml:space="preserve">CommercialPaper</t>
  </si>
  <si>
    <t xml:space="preserve">Term debt, current</t>
  </si>
  <si>
    <t xml:space="preserve">LongTermDebtCurrent</t>
  </si>
  <si>
    <t xml:space="preserve">Term debt, non-current</t>
  </si>
  <si>
    <t xml:space="preserve">LongTermDebtNoncurrent</t>
  </si>
  <si>
    <t xml:space="preserve">Total debt</t>
  </si>
  <si>
    <t xml:space="preserve">Cash and cash equivalents</t>
  </si>
  <si>
    <t xml:space="preserve">CashAndCashEquivalentsAtCarryingValue</t>
  </si>
  <si>
    <t xml:space="preserve">Marketable securities, current</t>
  </si>
  <si>
    <t xml:space="preserve">MarketableSecuritiesCurrent</t>
  </si>
  <si>
    <t xml:space="preserve">Marketable securities, non-current</t>
  </si>
  <si>
    <t xml:space="preserve">MarketableSecuritiesNoncurrent</t>
  </si>
  <si>
    <t xml:space="preserve">Total cash and investments</t>
  </si>
  <si>
    <t xml:space="preserve">Net debt (negative = net cash)</t>
  </si>
  <si>
    <t xml:space="preserve">Diluted weighted-average shares (millions)</t>
  </si>
  <si>
    <t xml:space="preserve">WeightedAverageNumberOfDilutedSharesOutstanding</t>
  </si>
  <si>
    <t xml:space="preserve">Shares outstanding at 17 Oct 2025 (millions, info only)</t>
  </si>
  <si>
    <t xml:space="preserve">dei:EntityCommonStockSharesOutstanding</t>
  </si>
  <si>
    <t xml:space="preserve">Manager-supplied market inputs (synthetic, fixed for this task)</t>
  </si>
  <si>
    <t xml:space="preserve">Value</t>
  </si>
  <si>
    <t xml:space="preserve">Risk-free rate</t>
  </si>
  <si>
    <t xml:space="preserve">Equity risk premium</t>
  </si>
  <si>
    <t xml:space="preserve">Equity beta</t>
  </si>
  <si>
    <t xml:space="preserve">Pre-tax cost of debt</t>
  </si>
  <si>
    <t xml:space="preserve">Reference share price ($, not a live quote)</t>
  </si>
  <si>
    <t xml:space="preserve">Terminal growth rate (base)</t>
  </si>
  <si>
    <t xml:space="preserve">WACC build</t>
  </si>
  <si>
    <t xml:space="preserve">Note</t>
  </si>
  <si>
    <t xml:space="preserve">Manager notes</t>
  </si>
  <si>
    <t xml:space="preserve">Beta</t>
  </si>
  <si>
    <t xml:space="preserve">Cost of equity (CAPM)</t>
  </si>
  <si>
    <t xml:space="preserve">Rf + beta x ERP</t>
  </si>
  <si>
    <t xml:space="preserve">Projection tax rate</t>
  </si>
  <si>
    <t xml:space="preserve">After-tax cost of debt</t>
  </si>
  <si>
    <t xml:space="preserve">Market value of equity ($M)</t>
  </si>
  <si>
    <t xml:space="preserve">Reference price x diluted shares</t>
  </si>
  <si>
    <t xml:space="preserve">Debt ($M)</t>
  </si>
  <si>
    <t xml:space="preserve">Book value as proxy for market value</t>
  </si>
  <si>
    <t xml:space="preserve">Equity weight</t>
  </si>
  <si>
    <t xml:space="preserve">Debt weight</t>
  </si>
  <si>
    <t xml:space="preserve">Used in DCF</t>
  </si>
  <si>
    <t xml:space="preserve">Intrinsic value per share ($): WACC (rows) vs terminal growth (columns)</t>
  </si>
  <si>
    <t xml:space="preserve">WACC \ g</t>
  </si>
  <si>
    <t xml:space="preserve">Check: base cell minus DCF!B31 (should be 0)</t>
  </si>
  <si>
    <t xml:space="preserve">Assumptions and risks</t>
  </si>
  <si>
    <t xml:space="preserve">Revenue growth fades from 6.0% to 4.0% (FY2023-25 CAGR is 4.2%; FY2025 growth was 6.4%). EBIT margin is held at 32.0% (FY2025: 32.0%). Tax is 16% (FY2025 effective rate 15.6%; FY2024's 24.1% was inflated by a one-time tax charge). D&amp;A (2.8%) and capex (3.0%) of revenue sit near FY2025 levels. Working-capital investment is 5% of revenue growth; reported swings (-6.6bn, +3.7bn, -25.0bn) reflect one-off tax items, so they are not extrapolated. Stock-based compensation is treated as a real cost (not added back). Operating leases stay in operating costs and are excluded from debt. Net cash includes marketable securities. Discounting is end-of-year. Risks: supply-chain and sales concentration in Greater China plus tariff exposure; regulatory pressure on App Store and Services economics (EU DMA, US antitrust). Terminal value is most of EV, so WACC and growth matter.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</si>
</sst>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0.0000"/>
    <numFmt numFmtId="168" formatCode="0.00%"/>
    <numFmt numFmtId="169" formatCode="#,##0.0"/>
    <numFmt numFmtId="170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3"/>
  </cols>
  <sheetData>
    <row r="3" customFormat="false" ht="15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customFormat="false" ht="15" hidden="false" customHeight="false" outlineLevel="0" collapsed="false">
      <c r="A4" s="0" t="s">
        <v>7</v>
      </c>
      <c r="B4" s="2" t="n">
        <f aca="false">Inputs!D4/Inputs!C4-1</f>
        <v>0.0642551178283275</v>
      </c>
      <c r="C4" s="3" t="n">
        <v>0.06</v>
      </c>
      <c r="D4" s="3" t="n">
        <v>0.055</v>
      </c>
      <c r="E4" s="3" t="n">
        <v>0.05</v>
      </c>
      <c r="F4" s="3" t="n">
        <v>0.045</v>
      </c>
      <c r="G4" s="3" t="n">
        <v>0.04</v>
      </c>
    </row>
    <row r="5" customFormat="false" ht="15" hidden="false" customHeight="false" outlineLevel="0" collapsed="false">
      <c r="A5" s="0" t="s">
        <v>8</v>
      </c>
      <c r="B5" s="4" t="n">
        <f aca="false">Inputs!D4</f>
        <v>416161</v>
      </c>
      <c r="C5" s="4" t="n">
        <f aca="false">B5*(1+C4)</f>
        <v>441130.66</v>
      </c>
      <c r="D5" s="4" t="n">
        <f aca="false">C5*(1+D4)</f>
        <v>465392.8463</v>
      </c>
      <c r="E5" s="4" t="n">
        <f aca="false">D5*(1+E4)</f>
        <v>488662.488615</v>
      </c>
      <c r="F5" s="4" t="n">
        <f aca="false">E5*(1+F4)</f>
        <v>510652.300602675</v>
      </c>
      <c r="G5" s="4" t="n">
        <f aca="false">F5*(1+G4)</f>
        <v>531078.392626782</v>
      </c>
    </row>
    <row r="6" customFormat="false" ht="15" hidden="false" customHeight="false" outlineLevel="0" collapsed="false">
      <c r="A6" s="0" t="s">
        <v>9</v>
      </c>
      <c r="B6" s="2" t="n">
        <f aca="false">Inputs!D5/Inputs!D4</f>
        <v>0.319707997625919</v>
      </c>
      <c r="C6" s="3" t="n">
        <v>0.32</v>
      </c>
      <c r="D6" s="3" t="n">
        <v>0.32</v>
      </c>
      <c r="E6" s="3" t="n">
        <v>0.32</v>
      </c>
      <c r="F6" s="3" t="n">
        <v>0.32</v>
      </c>
      <c r="G6" s="3" t="n">
        <v>0.32</v>
      </c>
    </row>
    <row r="7" customFormat="false" ht="15" hidden="false" customHeight="false" outlineLevel="0" collapsed="false">
      <c r="A7" s="0" t="s">
        <v>10</v>
      </c>
      <c r="B7" s="4" t="n">
        <f aca="false">Inputs!D5</f>
        <v>133050</v>
      </c>
      <c r="C7" s="4" t="n">
        <f aca="false">C5*C6</f>
        <v>141161.8112</v>
      </c>
      <c r="D7" s="4" t="n">
        <f aca="false">D5*D6</f>
        <v>148925.710816</v>
      </c>
      <c r="E7" s="4" t="n">
        <f aca="false">E5*E6</f>
        <v>156371.9963568</v>
      </c>
      <c r="F7" s="4" t="n">
        <f aca="false">F5*F6</f>
        <v>163408.736192856</v>
      </c>
      <c r="G7" s="4" t="n">
        <f aca="false">G5*G6</f>
        <v>169945.08564057</v>
      </c>
    </row>
    <row r="8" customFormat="false" ht="15" hidden="false" customHeight="false" outlineLevel="0" collapsed="false">
      <c r="A8" s="0" t="s">
        <v>11</v>
      </c>
      <c r="B8" s="2" t="n">
        <f aca="false">Inputs!D10</f>
        <v>0.15610002335586</v>
      </c>
      <c r="C8" s="3" t="n">
        <v>0.16</v>
      </c>
      <c r="D8" s="3" t="n">
        <v>0.16</v>
      </c>
      <c r="E8" s="3" t="n">
        <v>0.16</v>
      </c>
      <c r="F8" s="3" t="n">
        <v>0.16</v>
      </c>
      <c r="G8" s="3" t="n">
        <v>0.16</v>
      </c>
    </row>
    <row r="9" customFormat="false" ht="15" hidden="false" customHeight="false" outlineLevel="0" collapsed="false">
      <c r="A9" s="0" t="s">
        <v>12</v>
      </c>
      <c r="B9" s="4" t="n">
        <f aca="false">B7*(1-B8)</f>
        <v>112280.891892503</v>
      </c>
      <c r="C9" s="4" t="n">
        <f aca="false">C7*(1-C8)</f>
        <v>118575.921408</v>
      </c>
      <c r="D9" s="4" t="n">
        <f aca="false">D7*(1-D8)</f>
        <v>125097.59708544</v>
      </c>
      <c r="E9" s="4" t="n">
        <f aca="false">E7*(1-E8)</f>
        <v>131352.476939712</v>
      </c>
      <c r="F9" s="4" t="n">
        <f aca="false">F7*(1-F8)</f>
        <v>137263.338401999</v>
      </c>
      <c r="G9" s="4" t="n">
        <f aca="false">G7*(1-G8)</f>
        <v>142753.871938079</v>
      </c>
    </row>
    <row r="10" customFormat="false" ht="15" hidden="false" customHeight="false" outlineLevel="0" collapsed="false">
      <c r="A10" s="0" t="s">
        <v>13</v>
      </c>
      <c r="B10" s="2" t="n">
        <f aca="false">Inputs!D6/Inputs!D4</f>
        <v>0.0281093134628185</v>
      </c>
      <c r="C10" s="3" t="n">
        <v>0.028</v>
      </c>
      <c r="D10" s="3" t="n">
        <v>0.028</v>
      </c>
      <c r="E10" s="3" t="n">
        <v>0.028</v>
      </c>
      <c r="F10" s="3" t="n">
        <v>0.028</v>
      </c>
      <c r="G10" s="3" t="n">
        <v>0.028</v>
      </c>
    </row>
    <row r="11" customFormat="false" ht="15" hidden="false" customHeight="false" outlineLevel="0" collapsed="false">
      <c r="A11" s="0" t="s">
        <v>14</v>
      </c>
      <c r="B11" s="4" t="n">
        <f aca="false">Inputs!D6</f>
        <v>11698</v>
      </c>
      <c r="C11" s="4" t="n">
        <f aca="false">C5*C10</f>
        <v>12351.65848</v>
      </c>
      <c r="D11" s="4" t="n">
        <f aca="false">D5*D10</f>
        <v>13030.9996964</v>
      </c>
      <c r="E11" s="4" t="n">
        <f aca="false">E5*E10</f>
        <v>13682.54968122</v>
      </c>
      <c r="F11" s="4" t="n">
        <f aca="false">F5*F10</f>
        <v>14298.2644168749</v>
      </c>
      <c r="G11" s="4" t="n">
        <f aca="false">G5*G10</f>
        <v>14870.1949935499</v>
      </c>
    </row>
    <row r="12" customFormat="false" ht="15" hidden="false" customHeight="false" outlineLevel="0" collapsed="false">
      <c r="A12" s="0" t="s">
        <v>15</v>
      </c>
      <c r="B12" s="2" t="n">
        <f aca="false">Inputs!D7/Inputs!D4</f>
        <v>0.0305530792169377</v>
      </c>
      <c r="C12" s="3" t="n">
        <v>0.03</v>
      </c>
      <c r="D12" s="3" t="n">
        <v>0.03</v>
      </c>
      <c r="E12" s="3" t="n">
        <v>0.03</v>
      </c>
      <c r="F12" s="3" t="n">
        <v>0.03</v>
      </c>
      <c r="G12" s="3" t="n">
        <v>0.03</v>
      </c>
    </row>
    <row r="13" customFormat="false" ht="15" hidden="false" customHeight="false" outlineLevel="0" collapsed="false">
      <c r="A13" s="0" t="s">
        <v>16</v>
      </c>
      <c r="B13" s="4" t="n">
        <f aca="false">Inputs!D7</f>
        <v>12715</v>
      </c>
      <c r="C13" s="4" t="n">
        <f aca="false">C5*C12</f>
        <v>13233.9198</v>
      </c>
      <c r="D13" s="4" t="n">
        <f aca="false">D5*D12</f>
        <v>13961.785389</v>
      </c>
      <c r="E13" s="4" t="n">
        <f aca="false">E5*E12</f>
        <v>14659.87465845</v>
      </c>
      <c r="F13" s="4" t="n">
        <f aca="false">F5*F12</f>
        <v>15319.5690180803</v>
      </c>
      <c r="G13" s="4" t="n">
        <f aca="false">G5*G12</f>
        <v>15932.3517788035</v>
      </c>
    </row>
    <row r="14" customFormat="false" ht="15" hidden="false" customHeight="false" outlineLevel="0" collapsed="false">
      <c r="A14" s="0" t="s">
        <v>17</v>
      </c>
      <c r="B14" s="2"/>
      <c r="C14" s="3" t="n">
        <v>0.05</v>
      </c>
      <c r="D14" s="3" t="n">
        <v>0.05</v>
      </c>
      <c r="E14" s="3" t="n">
        <v>0.05</v>
      </c>
      <c r="F14" s="3" t="n">
        <v>0.05</v>
      </c>
      <c r="G14" s="3" t="n">
        <v>0.05</v>
      </c>
    </row>
    <row r="15" customFormat="false" ht="15" hidden="false" customHeight="false" outlineLevel="0" collapsed="false">
      <c r="A15" s="0" t="s">
        <v>18</v>
      </c>
      <c r="B15" s="4" t="n">
        <f aca="false">-Inputs!D11</f>
        <v>25000</v>
      </c>
      <c r="C15" s="4" t="n">
        <f aca="false">C14*(C5-B5)</f>
        <v>1248.483</v>
      </c>
      <c r="D15" s="4" t="n">
        <f aca="false">D14*(D5-C5)</f>
        <v>1213.109315</v>
      </c>
      <c r="E15" s="4" t="n">
        <f aca="false">E14*(E5-D5)</f>
        <v>1163.48211575</v>
      </c>
      <c r="F15" s="4" t="n">
        <f aca="false">F14*(F5-E5)</f>
        <v>1099.49059938375</v>
      </c>
      <c r="G15" s="4" t="n">
        <f aca="false">G14*(G5-F5)</f>
        <v>1021.30460120535</v>
      </c>
    </row>
    <row r="16" customFormat="false" ht="15" hidden="false" customHeight="false" outlineLevel="0" collapsed="false">
      <c r="A16" s="0" t="s">
        <v>19</v>
      </c>
      <c r="B16" s="4" t="n">
        <f aca="false">B9+B11-B13-B15</f>
        <v>86263.8918925028</v>
      </c>
      <c r="C16" s="4" t="n">
        <f aca="false">C9+C11-C13-C15</f>
        <v>116445.177088</v>
      </c>
      <c r="D16" s="4" t="n">
        <f aca="false">D9+D11-D13-D15</f>
        <v>122953.70207784</v>
      </c>
      <c r="E16" s="4" t="n">
        <f aca="false">E9+E11-E13-E15</f>
        <v>129211.669846732</v>
      </c>
      <c r="F16" s="4" t="n">
        <f aca="false">F9+F11-F13-F15</f>
        <v>135142.54320141</v>
      </c>
      <c r="G16" s="4" t="n">
        <f aca="false">G9+G11-G13-G15</f>
        <v>140670.41055162</v>
      </c>
    </row>
    <row r="17" customFormat="false" ht="15" hidden="false" customHeight="false" outlineLevel="0" collapsed="false">
      <c r="A17" s="0" t="s">
        <v>20</v>
      </c>
      <c r="C17" s="0" t="n">
        <v>1</v>
      </c>
      <c r="D17" s="0" t="n">
        <v>2</v>
      </c>
      <c r="E17" s="0" t="n">
        <v>3</v>
      </c>
      <c r="F17" s="0" t="n">
        <v>4</v>
      </c>
      <c r="G17" s="0" t="n">
        <v>5</v>
      </c>
    </row>
    <row r="18" customFormat="false" ht="15" hidden="false" customHeight="false" outlineLevel="0" collapsed="false">
      <c r="A18" s="0" t="s">
        <v>21</v>
      </c>
      <c r="C18" s="5" t="n">
        <f aca="false">1/(1+WACC!$B$13)^C17</f>
        <v>0.917417526948168</v>
      </c>
      <c r="D18" s="5" t="n">
        <f aca="false">1/(1+WACC!$B$13)^D17</f>
        <v>0.841654918751692</v>
      </c>
      <c r="E18" s="5" t="n">
        <f aca="false">1/(1+WACC!$B$13)^E17</f>
        <v>0.772148974104938</v>
      </c>
      <c r="F18" s="5" t="n">
        <f aca="false">1/(1+WACC!$B$13)^F17</f>
        <v>0.708383002258917</v>
      </c>
      <c r="G18" s="5" t="n">
        <f aca="false">1/(1+WACC!$B$13)^G17</f>
        <v>0.649882982064494</v>
      </c>
    </row>
    <row r="19" customFormat="false" ht="15" hidden="false" customHeight="false" outlineLevel="0" collapsed="false">
      <c r="A19" s="0" t="s">
        <v>22</v>
      </c>
      <c r="B19" s="4"/>
      <c r="C19" s="4" t="n">
        <f aca="false">C16*C18</f>
        <v>106828.846389114</v>
      </c>
      <c r="D19" s="4" t="n">
        <f aca="false">D16*D18</f>
        <v>103484.588132544</v>
      </c>
      <c r="E19" s="4" t="n">
        <f aca="false">E16*E18</f>
        <v>99770.6583145401</v>
      </c>
      <c r="F19" s="4" t="n">
        <f aca="false">F16*F18</f>
        <v>95732.6804859202</v>
      </c>
      <c r="G19" s="4" t="n">
        <f aca="false">G16*G18</f>
        <v>91419.3058975235</v>
      </c>
    </row>
    <row r="21" customFormat="false" ht="15" hidden="false" customHeight="false" outlineLevel="0" collapsed="false">
      <c r="A21" s="6" t="s">
        <v>23</v>
      </c>
    </row>
    <row r="22" customFormat="false" ht="15" hidden="false" customHeight="false" outlineLevel="0" collapsed="false">
      <c r="A22" s="0" t="s">
        <v>24</v>
      </c>
      <c r="B22" s="4" t="n">
        <f aca="false">SUM(C19:G19)</f>
        <v>497236.079219642</v>
      </c>
    </row>
    <row r="23" customFormat="false" ht="15" hidden="false" customHeight="false" outlineLevel="0" collapsed="false">
      <c r="A23" s="0" t="s">
        <v>25</v>
      </c>
      <c r="B23" s="2" t="n">
        <f aca="false">Inputs!B39</f>
        <v>0.025</v>
      </c>
    </row>
    <row r="24" customFormat="false" ht="15" hidden="false" customHeight="false" outlineLevel="0" collapsed="false">
      <c r="A24" s="0" t="s">
        <v>26</v>
      </c>
      <c r="B24" s="7" t="n">
        <f aca="false">WACC!B13</f>
        <v>0.0900162364747345</v>
      </c>
    </row>
    <row r="25" customFormat="false" ht="15" hidden="false" customHeight="false" outlineLevel="0" collapsed="false">
      <c r="A25" s="0" t="s">
        <v>27</v>
      </c>
      <c r="B25" s="4" t="n">
        <f aca="false">G16*(1+B23)/(B24-B23)</f>
        <v>2217710.20030423</v>
      </c>
    </row>
    <row r="26" customFormat="false" ht="15" hidden="false" customHeight="false" outlineLevel="0" collapsed="false">
      <c r="A26" s="0" t="s">
        <v>28</v>
      </c>
      <c r="B26" s="4" t="n">
        <f aca="false">B25*G18</f>
        <v>1441252.11832856</v>
      </c>
    </row>
    <row r="27" customFormat="false" ht="15" hidden="false" customHeight="false" outlineLevel="0" collapsed="false">
      <c r="A27" s="0" t="s">
        <v>29</v>
      </c>
      <c r="B27" s="4" t="n">
        <f aca="false">B22+B26</f>
        <v>1938488.1975482</v>
      </c>
    </row>
    <row r="28" customFormat="false" ht="15" hidden="false" customHeight="false" outlineLevel="0" collapsed="false">
      <c r="A28" s="0" t="s">
        <v>30</v>
      </c>
      <c r="B28" s="4" t="n">
        <f aca="false">Inputs!D29</f>
        <v>-33763</v>
      </c>
    </row>
    <row r="29" customFormat="false" ht="15" hidden="false" customHeight="false" outlineLevel="0" collapsed="false">
      <c r="A29" s="0" t="s">
        <v>31</v>
      </c>
      <c r="B29" s="4" t="n">
        <f aca="false">B27-B28</f>
        <v>1972251.1975482</v>
      </c>
    </row>
    <row r="30" customFormat="false" ht="15" hidden="false" customHeight="false" outlineLevel="0" collapsed="false">
      <c r="A30" s="0" t="s">
        <v>32</v>
      </c>
      <c r="B30" s="8" t="n">
        <f aca="false">Inputs!D30</f>
        <v>15004.7</v>
      </c>
    </row>
    <row r="31" customFormat="false" ht="15" hidden="false" customHeight="false" outlineLevel="0" collapsed="false">
      <c r="A31" s="6" t="s">
        <v>33</v>
      </c>
      <c r="B31" s="9" t="n">
        <f aca="false">B29/B30</f>
        <v>131.442227938459</v>
      </c>
    </row>
    <row r="32" customFormat="false" ht="15" hidden="false" customHeight="false" outlineLevel="0" collapsed="false">
      <c r="A32" s="0" t="s">
        <v>34</v>
      </c>
      <c r="B32" s="2" t="n">
        <f aca="false">B26/B27</f>
        <v>0.743492851878827</v>
      </c>
    </row>
    <row r="33" customFormat="false" ht="15" hidden="false" customHeight="false" outlineLevel="0" collapsed="false">
      <c r="A33" s="0" t="s">
        <v>35</v>
      </c>
      <c r="B33" s="10" t="n">
        <f aca="false">Inputs!B38</f>
        <v>250</v>
      </c>
    </row>
    <row r="34" customFormat="false" ht="15" hidden="false" customHeight="false" outlineLevel="0" collapsed="false">
      <c r="A34" s="0" t="s">
        <v>36</v>
      </c>
      <c r="B34" s="2" t="n">
        <f aca="false">B31/B33-1</f>
        <v>-0.474231088246162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6" t="s">
        <v>37</v>
      </c>
    </row>
    <row r="2" customFormat="false" ht="15" hidden="false" customHeight="false" outlineLevel="0" collapsed="false">
      <c r="A2" s="0" t="s">
        <v>38</v>
      </c>
    </row>
    <row r="3" customFormat="false" ht="15" hidden="false" customHeight="false" outlineLevel="0" collapsed="false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</row>
    <row r="4" customFormat="false" ht="15" hidden="false" customHeight="false" outlineLevel="0" collapsed="false">
      <c r="A4" s="0" t="s">
        <v>8</v>
      </c>
      <c r="B4" s="11" t="n">
        <v>383285</v>
      </c>
      <c r="C4" s="11" t="n">
        <v>391035</v>
      </c>
      <c r="D4" s="11" t="n">
        <v>416161</v>
      </c>
      <c r="E4" s="12" t="s">
        <v>44</v>
      </c>
    </row>
    <row r="5" customFormat="false" ht="15" hidden="false" customHeight="false" outlineLevel="0" collapsed="false">
      <c r="A5" s="0" t="s">
        <v>45</v>
      </c>
      <c r="B5" s="11" t="n">
        <v>114301</v>
      </c>
      <c r="C5" s="11" t="n">
        <v>123216</v>
      </c>
      <c r="D5" s="11" t="n">
        <v>133050</v>
      </c>
      <c r="E5" s="12" t="s">
        <v>46</v>
      </c>
    </row>
    <row r="6" customFormat="false" ht="15" hidden="false" customHeight="false" outlineLevel="0" collapsed="false">
      <c r="A6" s="0" t="s">
        <v>47</v>
      </c>
      <c r="B6" s="11" t="n">
        <v>11519</v>
      </c>
      <c r="C6" s="11" t="n">
        <v>11445</v>
      </c>
      <c r="D6" s="11" t="n">
        <v>11698</v>
      </c>
      <c r="E6" s="12" t="s">
        <v>48</v>
      </c>
    </row>
    <row r="7" customFormat="false" ht="15" hidden="false" customHeight="false" outlineLevel="0" collapsed="false">
      <c r="A7" s="0" t="s">
        <v>49</v>
      </c>
      <c r="B7" s="11" t="n">
        <v>10959</v>
      </c>
      <c r="C7" s="11" t="n">
        <v>9447</v>
      </c>
      <c r="D7" s="11" t="n">
        <v>12715</v>
      </c>
      <c r="E7" s="12" t="s">
        <v>50</v>
      </c>
    </row>
    <row r="8" customFormat="false" ht="15" hidden="false" customHeight="false" outlineLevel="0" collapsed="false">
      <c r="A8" s="0" t="s">
        <v>51</v>
      </c>
      <c r="B8" s="11" t="n">
        <v>113736</v>
      </c>
      <c r="C8" s="11" t="n">
        <v>123485</v>
      </c>
      <c r="D8" s="11" t="n">
        <v>132729</v>
      </c>
      <c r="E8" s="12" t="s">
        <v>52</v>
      </c>
    </row>
    <row r="9" customFormat="false" ht="15" hidden="false" customHeight="false" outlineLevel="0" collapsed="false">
      <c r="A9" s="0" t="s">
        <v>53</v>
      </c>
      <c r="B9" s="11" t="n">
        <v>16741</v>
      </c>
      <c r="C9" s="11" t="n">
        <v>29749</v>
      </c>
      <c r="D9" s="11" t="n">
        <v>20719</v>
      </c>
      <c r="E9" s="12" t="s">
        <v>54</v>
      </c>
    </row>
    <row r="10" customFormat="false" ht="15" hidden="false" customHeight="false" outlineLevel="0" collapsed="false">
      <c r="A10" s="0" t="s">
        <v>55</v>
      </c>
      <c r="B10" s="2" t="n">
        <f aca="false">B9/B8</f>
        <v>0.147191742280369</v>
      </c>
      <c r="C10" s="2" t="n">
        <f aca="false">C9/C8</f>
        <v>0.2409118516419</v>
      </c>
      <c r="D10" s="2" t="n">
        <f aca="false">D9/D8</f>
        <v>0.15610002335586</v>
      </c>
    </row>
    <row r="11" customFormat="false" ht="15" hidden="false" customHeight="false" outlineLevel="0" collapsed="false">
      <c r="A11" s="0" t="s">
        <v>56</v>
      </c>
      <c r="B11" s="0" t="n">
        <f aca="false">-(B13+B14+B15+B16)+(B17+B18)</f>
        <v>-6577</v>
      </c>
      <c r="C11" s="0" t="n">
        <f aca="false">-(C13+C14+C15+C16)+(C17+C18)</f>
        <v>3651</v>
      </c>
      <c r="D11" s="0" t="n">
        <f aca="false">-(D13+D14+D15+D16)+(D17+D18)</f>
        <v>-25000</v>
      </c>
      <c r="E11" s="0" t="s">
        <v>57</v>
      </c>
    </row>
    <row r="12" customFormat="false" ht="15" hidden="false" customHeight="false" outlineLevel="0" collapsed="false">
      <c r="A12" s="6" t="s">
        <v>58</v>
      </c>
    </row>
    <row r="13" customFormat="false" ht="15" hidden="false" customHeight="false" outlineLevel="0" collapsed="false">
      <c r="A13" s="0" t="s">
        <v>59</v>
      </c>
      <c r="B13" s="11" t="n">
        <v>1688</v>
      </c>
      <c r="C13" s="11" t="n">
        <v>3788</v>
      </c>
      <c r="D13" s="11" t="n">
        <v>6682</v>
      </c>
      <c r="E13" s="12" t="s">
        <v>60</v>
      </c>
    </row>
    <row r="14" customFormat="false" ht="15" hidden="false" customHeight="false" outlineLevel="0" collapsed="false">
      <c r="A14" s="0" t="s">
        <v>61</v>
      </c>
      <c r="B14" s="11" t="n">
        <v>1618</v>
      </c>
      <c r="C14" s="11" t="n">
        <v>1046</v>
      </c>
      <c r="D14" s="11" t="n">
        <v>-1400</v>
      </c>
      <c r="E14" s="12" t="s">
        <v>62</v>
      </c>
    </row>
    <row r="15" customFormat="false" ht="15" hidden="false" customHeight="false" outlineLevel="0" collapsed="false">
      <c r="A15" s="0" t="s">
        <v>63</v>
      </c>
      <c r="B15" s="11" t="n">
        <v>-1271</v>
      </c>
      <c r="C15" s="11" t="n">
        <v>1356</v>
      </c>
      <c r="D15" s="11" t="n">
        <v>347</v>
      </c>
      <c r="E15" s="12" t="s">
        <v>64</v>
      </c>
    </row>
    <row r="16" customFormat="false" ht="15" hidden="false" customHeight="false" outlineLevel="0" collapsed="false">
      <c r="A16" s="0" t="s">
        <v>65</v>
      </c>
      <c r="B16" s="11" t="n">
        <v>5684</v>
      </c>
      <c r="C16" s="11" t="n">
        <v>11731</v>
      </c>
      <c r="D16" s="11" t="n">
        <v>9197</v>
      </c>
      <c r="E16" s="12" t="s">
        <v>66</v>
      </c>
    </row>
    <row r="17" customFormat="false" ht="15" hidden="false" customHeight="false" outlineLevel="0" collapsed="false">
      <c r="A17" s="0" t="s">
        <v>67</v>
      </c>
      <c r="B17" s="11" t="n">
        <v>-1889</v>
      </c>
      <c r="C17" s="11" t="n">
        <v>6020</v>
      </c>
      <c r="D17" s="11" t="n">
        <v>902</v>
      </c>
      <c r="E17" s="12" t="s">
        <v>68</v>
      </c>
    </row>
    <row r="18" customFormat="false" ht="15" hidden="false" customHeight="false" outlineLevel="0" collapsed="false">
      <c r="A18" s="0" t="s">
        <v>69</v>
      </c>
      <c r="B18" s="11" t="n">
        <v>3031</v>
      </c>
      <c r="C18" s="11" t="n">
        <v>15552</v>
      </c>
      <c r="D18" s="11" t="n">
        <v>-11076</v>
      </c>
      <c r="E18" s="12" t="s">
        <v>70</v>
      </c>
    </row>
    <row r="20" customFormat="false" ht="15" hidden="false" customHeight="false" outlineLevel="0" collapsed="false">
      <c r="A20" s="1" t="s">
        <v>71</v>
      </c>
      <c r="B20" s="1"/>
      <c r="C20" s="1"/>
      <c r="D20" s="1" t="s">
        <v>42</v>
      </c>
      <c r="E20" s="1" t="s">
        <v>43</v>
      </c>
    </row>
    <row r="21" customFormat="false" ht="15" hidden="false" customHeight="false" outlineLevel="0" collapsed="false">
      <c r="A21" s="0" t="s">
        <v>72</v>
      </c>
      <c r="D21" s="11" t="n">
        <v>7979</v>
      </c>
      <c r="E21" s="12" t="s">
        <v>73</v>
      </c>
    </row>
    <row r="22" customFormat="false" ht="15" hidden="false" customHeight="false" outlineLevel="0" collapsed="false">
      <c r="A22" s="0" t="s">
        <v>74</v>
      </c>
      <c r="D22" s="11" t="n">
        <v>12350</v>
      </c>
      <c r="E22" s="12" t="s">
        <v>75</v>
      </c>
    </row>
    <row r="23" customFormat="false" ht="15" hidden="false" customHeight="false" outlineLevel="0" collapsed="false">
      <c r="A23" s="0" t="s">
        <v>76</v>
      </c>
      <c r="D23" s="11" t="n">
        <v>78328</v>
      </c>
      <c r="E23" s="12" t="s">
        <v>77</v>
      </c>
    </row>
    <row r="24" customFormat="false" ht="15" hidden="false" customHeight="false" outlineLevel="0" collapsed="false">
      <c r="A24" s="0" t="s">
        <v>78</v>
      </c>
      <c r="D24" s="0" t="n">
        <f aca="false">SUM(D21:D23)</f>
        <v>98657</v>
      </c>
    </row>
    <row r="25" customFormat="false" ht="15" hidden="false" customHeight="false" outlineLevel="0" collapsed="false">
      <c r="A25" s="0" t="s">
        <v>79</v>
      </c>
      <c r="D25" s="11" t="n">
        <v>35934</v>
      </c>
      <c r="E25" s="12" t="s">
        <v>80</v>
      </c>
    </row>
    <row r="26" customFormat="false" ht="15" hidden="false" customHeight="false" outlineLevel="0" collapsed="false">
      <c r="A26" s="0" t="s">
        <v>81</v>
      </c>
      <c r="D26" s="11" t="n">
        <v>18763</v>
      </c>
      <c r="E26" s="12" t="s">
        <v>82</v>
      </c>
    </row>
    <row r="27" customFormat="false" ht="15" hidden="false" customHeight="false" outlineLevel="0" collapsed="false">
      <c r="A27" s="0" t="s">
        <v>83</v>
      </c>
      <c r="D27" s="11" t="n">
        <v>77723</v>
      </c>
      <c r="E27" s="12" t="s">
        <v>84</v>
      </c>
    </row>
    <row r="28" customFormat="false" ht="15" hidden="false" customHeight="false" outlineLevel="0" collapsed="false">
      <c r="A28" s="0" t="s">
        <v>85</v>
      </c>
      <c r="D28" s="0" t="n">
        <f aca="false">SUM(D25:D27)</f>
        <v>132420</v>
      </c>
    </row>
    <row r="29" customFormat="false" ht="15" hidden="false" customHeight="false" outlineLevel="0" collapsed="false">
      <c r="A29" s="0" t="s">
        <v>86</v>
      </c>
      <c r="D29" s="0" t="n">
        <f aca="false">D24-D28</f>
        <v>-33763</v>
      </c>
    </row>
    <row r="30" customFormat="false" ht="15" hidden="false" customHeight="false" outlineLevel="0" collapsed="false">
      <c r="A30" s="0" t="s">
        <v>87</v>
      </c>
      <c r="D30" s="11" t="n">
        <v>15004.7</v>
      </c>
      <c r="E30" s="12" t="s">
        <v>88</v>
      </c>
    </row>
    <row r="31" customFormat="false" ht="15" hidden="false" customHeight="false" outlineLevel="0" collapsed="false">
      <c r="A31" s="0" t="s">
        <v>89</v>
      </c>
      <c r="D31" s="11" t="n">
        <v>14776.353</v>
      </c>
      <c r="E31" s="12" t="s">
        <v>90</v>
      </c>
    </row>
    <row r="33" customFormat="false" ht="15" hidden="false" customHeight="false" outlineLevel="0" collapsed="false">
      <c r="A33" s="1" t="s">
        <v>91</v>
      </c>
      <c r="B33" s="1" t="s">
        <v>92</v>
      </c>
    </row>
    <row r="34" customFormat="false" ht="15" hidden="false" customHeight="false" outlineLevel="0" collapsed="false">
      <c r="A34" s="0" t="s">
        <v>93</v>
      </c>
      <c r="B34" s="3" t="n">
        <v>0.042</v>
      </c>
    </row>
    <row r="35" customFormat="false" ht="15" hidden="false" customHeight="false" outlineLevel="0" collapsed="false">
      <c r="A35" s="0" t="s">
        <v>94</v>
      </c>
      <c r="B35" s="3" t="n">
        <v>0.045</v>
      </c>
    </row>
    <row r="36" customFormat="false" ht="15" hidden="false" customHeight="false" outlineLevel="0" collapsed="false">
      <c r="A36" s="0" t="s">
        <v>95</v>
      </c>
      <c r="B36" s="11" t="n">
        <v>1.1</v>
      </c>
    </row>
    <row r="37" customFormat="false" ht="15" hidden="false" customHeight="false" outlineLevel="0" collapsed="false">
      <c r="A37" s="0" t="s">
        <v>96</v>
      </c>
      <c r="B37" s="3" t="n">
        <v>0.04</v>
      </c>
    </row>
    <row r="38" customFormat="false" ht="15" hidden="false" customHeight="false" outlineLevel="0" collapsed="false">
      <c r="A38" s="0" t="s">
        <v>97</v>
      </c>
      <c r="B38" s="11" t="n">
        <v>250</v>
      </c>
    </row>
    <row r="39" customFormat="false" ht="15" hidden="false" customHeight="false" outlineLevel="0" collapsed="false">
      <c r="A39" s="0" t="s">
        <v>98</v>
      </c>
      <c r="B39" s="3" t="n">
        <v>0.025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99</v>
      </c>
      <c r="B1" s="1" t="s">
        <v>92</v>
      </c>
      <c r="C1" s="1" t="s">
        <v>100</v>
      </c>
    </row>
    <row r="2" customFormat="false" ht="15" hidden="false" customHeight="false" outlineLevel="0" collapsed="false">
      <c r="A2" s="0" t="s">
        <v>93</v>
      </c>
      <c r="B2" s="2" t="n">
        <f aca="false">Inputs!B34</f>
        <v>0.042</v>
      </c>
      <c r="C2" s="12" t="s">
        <v>101</v>
      </c>
    </row>
    <row r="3" customFormat="false" ht="15" hidden="false" customHeight="false" outlineLevel="0" collapsed="false">
      <c r="A3" s="0" t="s">
        <v>94</v>
      </c>
      <c r="B3" s="2" t="n">
        <f aca="false">Inputs!B35</f>
        <v>0.045</v>
      </c>
      <c r="C3" s="12" t="s">
        <v>101</v>
      </c>
    </row>
    <row r="4" customFormat="false" ht="15" hidden="false" customHeight="false" outlineLevel="0" collapsed="false">
      <c r="A4" s="0" t="s">
        <v>102</v>
      </c>
      <c r="B4" s="10" t="n">
        <f aca="false">Inputs!B36</f>
        <v>1.1</v>
      </c>
      <c r="C4" s="12" t="s">
        <v>101</v>
      </c>
    </row>
    <row r="5" customFormat="false" ht="15" hidden="false" customHeight="false" outlineLevel="0" collapsed="false">
      <c r="A5" s="0" t="s">
        <v>103</v>
      </c>
      <c r="B5" s="7" t="n">
        <f aca="false">B2+B4*B3</f>
        <v>0.0915</v>
      </c>
      <c r="C5" s="12" t="s">
        <v>104</v>
      </c>
    </row>
    <row r="6" customFormat="false" ht="15" hidden="false" customHeight="false" outlineLevel="0" collapsed="false">
      <c r="A6" s="0" t="s">
        <v>96</v>
      </c>
      <c r="B6" s="2" t="n">
        <f aca="false">Inputs!B37</f>
        <v>0.04</v>
      </c>
      <c r="C6" s="12" t="s">
        <v>101</v>
      </c>
    </row>
    <row r="7" customFormat="false" ht="15" hidden="false" customHeight="false" outlineLevel="0" collapsed="false">
      <c r="A7" s="0" t="s">
        <v>11</v>
      </c>
      <c r="B7" s="2" t="n">
        <f aca="false">DCF!C8</f>
        <v>0.16</v>
      </c>
      <c r="C7" s="12" t="s">
        <v>105</v>
      </c>
    </row>
    <row r="8" customFormat="false" ht="15" hidden="false" customHeight="false" outlineLevel="0" collapsed="false">
      <c r="A8" s="0" t="s">
        <v>106</v>
      </c>
      <c r="B8" s="7" t="n">
        <f aca="false">B6*(1-B7)</f>
        <v>0.0336</v>
      </c>
    </row>
    <row r="9" customFormat="false" ht="15" hidden="false" customHeight="false" outlineLevel="0" collapsed="false">
      <c r="A9" s="0" t="s">
        <v>107</v>
      </c>
      <c r="B9" s="4" t="n">
        <f aca="false">Inputs!B38*Inputs!D30</f>
        <v>3751175</v>
      </c>
      <c r="C9" s="12" t="s">
        <v>108</v>
      </c>
    </row>
    <row r="10" customFormat="false" ht="15" hidden="false" customHeight="false" outlineLevel="0" collapsed="false">
      <c r="A10" s="0" t="s">
        <v>109</v>
      </c>
      <c r="B10" s="4" t="n">
        <f aca="false">Inputs!D24</f>
        <v>98657</v>
      </c>
      <c r="C10" s="12" t="s">
        <v>110</v>
      </c>
    </row>
    <row r="11" customFormat="false" ht="15" hidden="false" customHeight="false" outlineLevel="0" collapsed="false">
      <c r="A11" s="0" t="s">
        <v>111</v>
      </c>
      <c r="B11" s="2" t="n">
        <f aca="false">B9/(B9+B10)</f>
        <v>0.974373686955691</v>
      </c>
    </row>
    <row r="12" customFormat="false" ht="15" hidden="false" customHeight="false" outlineLevel="0" collapsed="false">
      <c r="A12" s="0" t="s">
        <v>112</v>
      </c>
      <c r="B12" s="2" t="n">
        <f aca="false">B10/(B9+B10)</f>
        <v>0.0256263130443095</v>
      </c>
    </row>
    <row r="13" customFormat="false" ht="15" hidden="false" customHeight="false" outlineLevel="0" collapsed="false">
      <c r="A13" s="6" t="s">
        <v>26</v>
      </c>
      <c r="B13" s="13" t="n">
        <f aca="false">B11*B5+B12*B8</f>
        <v>0.0900162364747345</v>
      </c>
      <c r="C13" s="12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6" t="s">
        <v>114</v>
      </c>
    </row>
    <row r="4" customFormat="false" ht="15" hidden="false" customHeight="false" outlineLevel="0" collapsed="false">
      <c r="A4" s="6" t="s">
        <v>115</v>
      </c>
      <c r="B4" s="3" t="n">
        <v>0.015</v>
      </c>
      <c r="C4" s="3" t="n">
        <v>0.02</v>
      </c>
      <c r="D4" s="3" t="n">
        <v>0.025</v>
      </c>
      <c r="E4" s="3" t="n">
        <v>0.03</v>
      </c>
      <c r="F4" s="3" t="n">
        <v>0.035</v>
      </c>
    </row>
    <row r="5" customFormat="false" ht="15" hidden="false" customHeight="false" outlineLevel="0" collapsed="false">
      <c r="A5" s="7" t="n">
        <f aca="false">WACC!$B$13+(-0.01)</f>
        <v>0.0800162364747345</v>
      </c>
      <c r="B5" s="10" t="n">
        <f aca="false">(NPV($A5,DCF!$C$16:$G$16)+DCF!$G$16*(1+B$4)/($A5-B$4)/(1+$A5)^5-Inputs!$D$29)/Inputs!$D$30</f>
        <v>135.89847436098</v>
      </c>
      <c r="C5" s="10" t="n">
        <f aca="false">(NPV($A5,DCF!$C$16:$G$16)+DCF!$G$16*(1+C$4)/($A5-C$4)/(1+$A5)^5-Inputs!$D$29)/Inputs!$D$30</f>
        <v>144.727925756176</v>
      </c>
      <c r="D5" s="10" t="n">
        <f aca="false">(NPV($A5,DCF!$C$16:$G$16)+DCF!$G$16*(1+D$4)/($A5-D$4)/(1+$A5)^5-Inputs!$D$29)/Inputs!$D$30</f>
        <v>155.162258175768</v>
      </c>
      <c r="E5" s="10" t="n">
        <f aca="false">(NPV($A5,DCF!$C$16:$G$16)+DCF!$G$16*(1+E$4)/($A5-E$4)/(1+$A5)^5-Inputs!$D$29)/Inputs!$D$30</f>
        <v>167.682779632166</v>
      </c>
      <c r="F5" s="10" t="n">
        <f aca="false">(NPV($A5,DCF!$C$16:$G$16)+DCF!$G$16*(1+F$4)/($A5-F$4)/(1+$A5)^5-Inputs!$D$29)/Inputs!$D$30</f>
        <v>182.984635655133</v>
      </c>
    </row>
    <row r="6" customFormat="false" ht="15" hidden="false" customHeight="false" outlineLevel="0" collapsed="false">
      <c r="A6" s="7" t="n">
        <f aca="false">WACC!$B$13+(-0.005)</f>
        <v>0.0850162364747345</v>
      </c>
      <c r="B6" s="10" t="n">
        <f aca="false">(NPV($A6,DCF!$C$16:$G$16)+DCF!$G$16*(1+B$4)/($A6-B$4)/(1+$A6)^5-Inputs!$D$29)/Inputs!$D$30</f>
        <v>126.215573324891</v>
      </c>
      <c r="C6" s="10" t="n">
        <f aca="false">(NPV($A6,DCF!$C$16:$G$16)+DCF!$G$16*(1+C$4)/($A6-C$4)/(1+$A6)^5-Inputs!$D$29)/Inputs!$D$30</f>
        <v>133.645420912872</v>
      </c>
      <c r="D6" s="10" t="n">
        <f aca="false">(NPV($A6,DCF!$C$16:$G$16)+DCF!$G$16*(1+D$4)/($A6-D$4)/(1+$A6)^5-Inputs!$D$29)/Inputs!$D$30</f>
        <v>142.313241426916</v>
      </c>
      <c r="E6" s="10" t="n">
        <f aca="false">(NPV($A6,DCF!$C$16:$G$16)+DCF!$G$16*(1+E$4)/($A6-E$4)/(1+$A6)^5-Inputs!$D$29)/Inputs!$D$30</f>
        <v>152.556564205281</v>
      </c>
      <c r="F6" s="10" t="n">
        <f aca="false">(NPV($A6,DCF!$C$16:$G$16)+DCF!$G$16*(1+F$4)/($A6-F$4)/(1+$A6)^5-Inputs!$D$29)/Inputs!$D$30</f>
        <v>164.847886493474</v>
      </c>
    </row>
    <row r="7" customFormat="false" ht="15" hidden="false" customHeight="false" outlineLevel="0" collapsed="false">
      <c r="A7" s="7" t="n">
        <f aca="false">WACC!$B$13+(0)</f>
        <v>0.0900162364747345</v>
      </c>
      <c r="B7" s="10" t="n">
        <f aca="false">(NPV($A7,DCF!$C$16:$G$16)+DCF!$G$16*(1+B$4)/($A7-B$4)/(1+$A7)^5-Inputs!$D$29)/Inputs!$D$30</f>
        <v>117.825697174723</v>
      </c>
      <c r="C7" s="10" t="n">
        <f aca="false">(NPV($A7,DCF!$C$16:$G$16)+DCF!$G$16*(1+C$4)/($A7-C$4)/(1+$A7)^5-Inputs!$D$29)/Inputs!$D$30</f>
        <v>124.147770658493</v>
      </c>
      <c r="D7" s="10" t="n">
        <f aca="false">(NPV($A7,DCF!$C$16:$G$16)+DCF!$G$16*(1+D$4)/($A7-D$4)/(1+$A7)^5-Inputs!$D$29)/Inputs!$D$30</f>
        <v>131.442227938459</v>
      </c>
      <c r="E7" s="10" t="n">
        <f aca="false">(NPV($A7,DCF!$C$16:$G$16)+DCF!$G$16*(1+E$4)/($A7-E$4)/(1+$A7)^5-Inputs!$D$29)/Inputs!$D$30</f>
        <v>139.952099197781</v>
      </c>
      <c r="F7" s="10" t="n">
        <f aca="false">(NPV($A7,DCF!$C$16:$G$16)+DCF!$G$16*(1+F$4)/($A7-F$4)/(1+$A7)^5-Inputs!$D$29)/Inputs!$D$30</f>
        <v>150.008763150425</v>
      </c>
    </row>
    <row r="8" customFormat="false" ht="15" hidden="false" customHeight="false" outlineLevel="0" collapsed="false">
      <c r="A8" s="7" t="n">
        <f aca="false">WACC!$B$13+(0.005)</f>
        <v>0.0950162364747345</v>
      </c>
      <c r="B8" s="10" t="n">
        <f aca="false">(NPV($A8,DCF!$C$16:$G$16)+DCF!$G$16*(1+B$4)/($A8-B$4)/(1+$A8)^5-Inputs!$D$29)/Inputs!$D$30</f>
        <v>110.486404169654</v>
      </c>
      <c r="C8" s="10" t="n">
        <f aca="false">(NPV($A8,DCF!$C$16:$G$16)+DCF!$G$16*(1+C$4)/($A8-C$4)/(1+$A8)^5-Inputs!$D$29)/Inputs!$D$30</f>
        <v>115.918029622829</v>
      </c>
      <c r="D8" s="10" t="n">
        <f aca="false">(NPV($A8,DCF!$C$16:$G$16)+DCF!$G$16*(1+D$4)/($A8-D$4)/(1+$A8)^5-Inputs!$D$29)/Inputs!$D$30</f>
        <v>122.125421630543</v>
      </c>
      <c r="E8" s="10" t="n">
        <f aca="false">(NPV($A8,DCF!$C$16:$G$16)+DCF!$G$16*(1+E$4)/($A8-E$4)/(1+$A8)^5-Inputs!$D$29)/Inputs!$D$30</f>
        <v>129.287558536498</v>
      </c>
      <c r="F8" s="10" t="n">
        <f aca="false">(NPV($A8,DCF!$C$16:$G$16)+DCF!$G$16*(1+F$4)/($A8-F$4)/(1+$A8)^5-Inputs!$D$29)/Inputs!$D$30</f>
        <v>137.643061992349</v>
      </c>
    </row>
    <row r="9" customFormat="false" ht="15" hidden="false" customHeight="false" outlineLevel="0" collapsed="false">
      <c r="A9" s="7" t="n">
        <f aca="false">WACC!$B$13+(0.01)</f>
        <v>0.100016236474734</v>
      </c>
      <c r="B9" s="10" t="n">
        <f aca="false">(NPV($A9,DCF!$C$16:$G$16)+DCF!$G$16*(1+B$4)/($A9-B$4)/(1+$A9)^5-Inputs!$D$29)/Inputs!$D$30</f>
        <v>104.012288089393</v>
      </c>
      <c r="C9" s="10" t="n">
        <f aca="false">(NPV($A9,DCF!$C$16:$G$16)+DCF!$G$16*(1+C$4)/($A9-C$4)/(1+$A9)^5-Inputs!$D$29)/Inputs!$D$30</f>
        <v>108.718473838606</v>
      </c>
      <c r="D9" s="10" t="n">
        <f aca="false">(NPV($A9,DCF!$C$16:$G$16)+DCF!$G$16*(1+D$4)/($A9-D$4)/(1+$A9)^5-Inputs!$D$29)/Inputs!$D$30</f>
        <v>114.052015207131</v>
      </c>
      <c r="E9" s="10" t="n">
        <f aca="false">(NPV($A9,DCF!$C$16:$G$16)+DCF!$G$16*(1+E$4)/($A9-E$4)/(1+$A9)^5-Inputs!$D$29)/Inputs!$D$30</f>
        <v>120.14731436743</v>
      </c>
      <c r="F9" s="10" t="n">
        <f aca="false">(NPV($A9,DCF!$C$16:$G$16)+DCF!$G$16*(1+F$4)/($A9-F$4)/(1+$A9)^5-Inputs!$D$29)/Inputs!$D$30</f>
        <v>127.180117679121</v>
      </c>
    </row>
    <row r="11" customFormat="false" ht="15" hidden="false" customHeight="false" outlineLevel="0" collapsed="false">
      <c r="A11" s="0" t="s">
        <v>116</v>
      </c>
      <c r="B11" s="5" t="n">
        <f aca="false">D7-DCF!B31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117</v>
      </c>
    </row>
    <row r="2" customFormat="false" ht="189.75" hidden="false" customHeight="true" outlineLevel="0" collapsed="false">
      <c r="A2" s="14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2026-10-23T08:53:21Z</dcterms:created>
  <dc:creator>openpyxl</dc:creator>
  <dc:description/>
  <dc:language>en-US</dc:language>
  <cp:lastModifiedBy/>
  <dcterms:modified xsi:type="dcterms:W3CDTF">2026-10-23T08:53:21Z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